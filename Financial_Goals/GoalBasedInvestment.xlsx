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Arun Personal\Financial Goals\"/>
    </mc:Choice>
  </mc:AlternateContent>
  <xr:revisionPtr revIDLastSave="0" documentId="13_ncr:1_{64D20E69-52BE-45BE-90BF-E9A543CD76E6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Index" sheetId="1" r:id="rId1"/>
    <sheet name="Nakshatra" sheetId="3" r:id="rId2"/>
    <sheet name="Arun" sheetId="4" r:id="rId3"/>
    <sheet name="Navaneeth" sheetId="2" r:id="rId4"/>
    <sheet name="Monthly Commitement" sheetId="5" r:id="rId5"/>
    <sheet name="Stock" sheetId="10" r:id="rId6"/>
    <sheet name="ETF" sheetId="9" r:id="rId7"/>
    <sheet name="Asset Allocation" sheetId="8" r:id="rId8"/>
    <sheet name="Aggregation" sheetId="7" r:id="rId9"/>
    <sheet name="Sheet6" sheetId="6" state="hidden" r:id="rId10"/>
  </sheets>
  <definedNames>
    <definedName name="_xlnm._FilterDatabase" localSheetId="4" hidden="1">'Monthly Commitement'!$L$1:$L$20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3" i="8"/>
  <c r="C2" i="8"/>
  <c r="C6" i="7" l="1"/>
  <c r="C11" i="7" s="1"/>
  <c r="C7" i="7" l="1"/>
  <c r="C10" i="7"/>
  <c r="C8" i="7"/>
  <c r="C9" i="7"/>
</calcChain>
</file>

<file path=xl/sharedStrings.xml><?xml version="1.0" encoding="utf-8"?>
<sst xmlns="http://schemas.openxmlformats.org/spreadsheetml/2006/main" count="104" uniqueCount="70">
  <si>
    <t>Goal</t>
  </si>
  <si>
    <t>SI No</t>
  </si>
  <si>
    <t>Education</t>
  </si>
  <si>
    <t>Marriage</t>
  </si>
  <si>
    <t>Amount</t>
  </si>
  <si>
    <t>Tentative year</t>
  </si>
  <si>
    <t>Lumpsum Amount(Inflation Adjusted)</t>
  </si>
  <si>
    <t>Monthly Investment</t>
  </si>
  <si>
    <t>Monthly</t>
  </si>
  <si>
    <t xml:space="preserve">Monthly </t>
  </si>
  <si>
    <t>Retirement</t>
  </si>
  <si>
    <t>4.3 cr</t>
  </si>
  <si>
    <t>Vacation</t>
  </si>
  <si>
    <t>SI. No</t>
  </si>
  <si>
    <t>Name</t>
  </si>
  <si>
    <t>KSFE</t>
  </si>
  <si>
    <t>Kotak MF</t>
  </si>
  <si>
    <t>PF(SAL. Ded)</t>
  </si>
  <si>
    <t>AXIS Mid cap</t>
  </si>
  <si>
    <t>SBI SMALL CAP</t>
  </si>
  <si>
    <t>Revised Amount(July-21</t>
  </si>
  <si>
    <t>Axis Bluechip</t>
  </si>
  <si>
    <t>Nak - EDU</t>
  </si>
  <si>
    <t>Actual</t>
  </si>
  <si>
    <t>Nak - Mar</t>
  </si>
  <si>
    <t>Nav - EDU</t>
  </si>
  <si>
    <t>Arun- Ret</t>
  </si>
  <si>
    <t>Projected</t>
  </si>
  <si>
    <t xml:space="preserve">Total </t>
  </si>
  <si>
    <t>Equity -small</t>
  </si>
  <si>
    <t>Equity-Large</t>
  </si>
  <si>
    <t>CASH FD</t>
  </si>
  <si>
    <t>Long Tern Fincome</t>
  </si>
  <si>
    <t>FMP Debt</t>
  </si>
  <si>
    <t>done</t>
  </si>
  <si>
    <t>Done</t>
  </si>
  <si>
    <t>Kotak Bluechip</t>
  </si>
  <si>
    <t>Canara Robeco Bluechip Equity Fund - Direct Plan - Growth</t>
  </si>
  <si>
    <t>SBI Blue Chip Fund </t>
  </si>
  <si>
    <t>Small</t>
  </si>
  <si>
    <t>pending</t>
  </si>
  <si>
    <t>Bank</t>
  </si>
  <si>
    <t>ICICI</t>
  </si>
  <si>
    <t>HDFC</t>
  </si>
  <si>
    <t>Parag parikh Flexi cap</t>
  </si>
  <si>
    <t>Nippon india small cap</t>
  </si>
  <si>
    <t>PWD</t>
  </si>
  <si>
    <t>Type</t>
  </si>
  <si>
    <t>Large Cap</t>
  </si>
  <si>
    <t>Mid Cap</t>
  </si>
  <si>
    <t>D</t>
  </si>
  <si>
    <t>Stocks</t>
  </si>
  <si>
    <t>Bonds</t>
  </si>
  <si>
    <t>Cash</t>
  </si>
  <si>
    <t>current value :61866</t>
  </si>
  <si>
    <t>Nissan@12345</t>
  </si>
  <si>
    <t>Flexi</t>
  </si>
  <si>
    <t>Nifty Bees</t>
  </si>
  <si>
    <t>Start Date</t>
  </si>
  <si>
    <t>Junior Bees</t>
  </si>
  <si>
    <t>Key@12345</t>
  </si>
  <si>
    <t>Invested</t>
  </si>
  <si>
    <t>Value</t>
  </si>
  <si>
    <t>Number(PF or Acc)</t>
  </si>
  <si>
    <t>Stopped Date</t>
  </si>
  <si>
    <t>NA</t>
  </si>
  <si>
    <t>Inception Date</t>
  </si>
  <si>
    <t>Revised October 2021</t>
  </si>
  <si>
    <t>5395791 / 84</t>
  </si>
  <si>
    <t>NO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</si>
</sst>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11A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0" fillId="0" borderId="2" xfId="0" applyFill="1" applyBorder="1"/>
    <xf numFmtId="0" fontId="2" fillId="0" borderId="0" xfId="0" applyFont="1"/>
    <xf numFmtId="0" fontId="0" fillId="2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14" fontId="0" fillId="0" borderId="0" xfId="0" applyNumberFormat="1"/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6" borderId="1" xfId="0" applyNumberFormat="1" applyFill="1" applyBorder="1"/>
    <xf numFmtId="0" fontId="0" fillId="7" borderId="1" xfId="0" applyFill="1" applyBorder="1"/>
    <xf numFmtId="0" fontId="3" fillId="0" borderId="1" xfId="1" applyBorder="1"/>
    <xf numFmtId="0" fontId="0" fillId="0" borderId="1" xfId="0" applyFill="1" applyBorder="1"/>
    <xf numFmtId="4" fontId="0" fillId="0" borderId="0" xfId="0" applyNumberFormat="1"/>
    <xf numFmtId="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F11A6"/>
      <color rgb="FF686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450850</xdr:colOff>
      <xdr:row>0</xdr:row>
      <xdr:rowOff>88900</xdr:rowOff>
    </xdr:from>
    <xdr:to>
      <xdr:col>25</xdr:col>
      <xdr:colOff>125745</xdr:colOff>
      <xdr:row>44</xdr:row>
      <xdr:rowOff>43443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6100" y="88900"/>
          <a:ext cx="10038095" cy="805714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30</xdr:col>
      <xdr:colOff>17600</xdr:colOff>
      <xdr:row>95</xdr:row>
      <xdr:rowOff>21071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0800" y="8286750"/>
          <a:ext cx="11600000" cy="92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22</xdr:col>
      <xdr:colOff>192581</xdr:colOff>
      <xdr:row>49</xdr:row>
      <xdr:rowOff>49781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0300" y="920750"/>
          <a:ext cx="8752381" cy="8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Key@12345" TargetMode="External"/><Relationship Id="rId1" Type="http://schemas.openxmlformats.org/officeDocument/2006/relationships/hyperlink" Target="mailto:Key@1234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1" sqref="C2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H15" sqref="H15"/>
    </sheetView>
  </sheetViews>
  <sheetFormatPr defaultRowHeight="14.5" x14ac:dyDescent="0.35"/>
  <cols>
    <col min="2" max="2" width="9.08984375" bestFit="1" customWidth="1"/>
    <col min="3" max="3" width="18.26953125" bestFit="1" customWidth="1"/>
    <col min="4" max="4" width="12.6328125" bestFit="1" customWidth="1"/>
  </cols>
  <sheetData>
    <row r="1" spans="1:6" x14ac:dyDescent="0.35">
      <c r="A1" s="2" t="s">
        <v>1</v>
      </c>
      <c r="B1" s="2" t="s">
        <v>0</v>
      </c>
      <c r="C1" s="2" t="s">
        <v>4</v>
      </c>
      <c r="D1" s="2" t="s">
        <v>5</v>
      </c>
      <c r="E1" s="4" t="s">
        <v>9</v>
      </c>
    </row>
    <row r="2" spans="1:6" x14ac:dyDescent="0.35">
      <c r="A2" s="1">
        <v>1</v>
      </c>
      <c r="B2" s="1" t="s">
        <v>2</v>
      </c>
      <c r="C2" s="1">
        <v>3820000</v>
      </c>
      <c r="D2" s="1">
        <v>2030</v>
      </c>
      <c r="E2" s="5">
        <v>8300</v>
      </c>
      <c r="F2" s="5">
        <v>15000</v>
      </c>
    </row>
    <row r="3" spans="1:6" x14ac:dyDescent="0.35">
      <c r="A3" s="1">
        <v>2</v>
      </c>
      <c r="B3" s="1" t="s">
        <v>3</v>
      </c>
      <c r="C3" s="1">
        <v>4188400</v>
      </c>
      <c r="D3" s="1">
        <v>2035</v>
      </c>
      <c r="E3" s="5">
        <v>7300</v>
      </c>
      <c r="F3" s="5">
        <v>17000</v>
      </c>
    </row>
    <row r="36" spans="1:1" x14ac:dyDescent="0.35">
      <c r="A36" t="s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E2" sqref="E2"/>
    </sheetView>
  </sheetViews>
  <sheetFormatPr defaultRowHeight="14.5" x14ac:dyDescent="0.35"/>
  <cols>
    <col min="2" max="2" width="10.08984375" bestFit="1" customWidth="1"/>
  </cols>
  <sheetData>
    <row r="1" spans="1:5" x14ac:dyDescent="0.35">
      <c r="A1" s="2" t="s">
        <v>1</v>
      </c>
      <c r="B1" s="2" t="s">
        <v>0</v>
      </c>
      <c r="C1" s="2" t="s">
        <v>4</v>
      </c>
      <c r="D1" s="2" t="s">
        <v>5</v>
      </c>
      <c r="E1" s="4" t="s">
        <v>9</v>
      </c>
    </row>
    <row r="2" spans="1:5" x14ac:dyDescent="0.35">
      <c r="A2" s="1">
        <v>1</v>
      </c>
      <c r="B2" s="1" t="s">
        <v>10</v>
      </c>
      <c r="C2" s="1" t="s">
        <v>11</v>
      </c>
      <c r="D2" s="1">
        <v>2041</v>
      </c>
      <c r="E2" s="5">
        <v>30000</v>
      </c>
    </row>
    <row r="3" spans="1:5" x14ac:dyDescent="0.35">
      <c r="A3" s="1">
        <v>2</v>
      </c>
      <c r="B3" s="1" t="s">
        <v>12</v>
      </c>
      <c r="C3" s="1"/>
      <c r="D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H10" workbookViewId="0">
      <selection activeCell="F2" sqref="F2"/>
    </sheetView>
  </sheetViews>
  <sheetFormatPr defaultRowHeight="14.5" x14ac:dyDescent="0.35"/>
  <cols>
    <col min="3" max="3" width="33.08984375" bestFit="1" customWidth="1"/>
    <col min="4" max="4" width="12.90625" bestFit="1" customWidth="1"/>
    <col min="10" max="10" width="17.81640625" bestFit="1" customWidth="1"/>
  </cols>
  <sheetData>
    <row r="1" spans="1:6" x14ac:dyDescent="0.35">
      <c r="A1" s="2" t="s">
        <v>1</v>
      </c>
      <c r="B1" s="2" t="s">
        <v>0</v>
      </c>
      <c r="C1" s="2" t="s">
        <v>6</v>
      </c>
      <c r="D1" s="2" t="s">
        <v>5</v>
      </c>
      <c r="E1" s="4" t="s">
        <v>9</v>
      </c>
    </row>
    <row r="2" spans="1:6" x14ac:dyDescent="0.35">
      <c r="A2" s="1">
        <v>1</v>
      </c>
      <c r="B2" s="1" t="s">
        <v>2</v>
      </c>
      <c r="C2" s="6">
        <v>4620000</v>
      </c>
      <c r="D2" s="1">
        <v>2032</v>
      </c>
      <c r="E2" s="5">
        <v>7400</v>
      </c>
      <c r="F2" s="5">
        <v>9000</v>
      </c>
    </row>
    <row r="21" spans="1:2" x14ac:dyDescent="0.35">
      <c r="A21" s="3" t="s">
        <v>7</v>
      </c>
      <c r="B21" s="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"/>
  <sheetViews>
    <sheetView tabSelected="1" topLeftCell="D1" workbookViewId="0">
      <selection activeCell="P5" sqref="P5:P14"/>
    </sheetView>
  </sheetViews>
  <sheetFormatPr defaultRowHeight="14.5" x14ac:dyDescent="0.35"/>
  <cols>
    <col min="2" max="2" width="19.81640625" bestFit="1" customWidth="1"/>
    <col min="3" max="3" width="16.54296875" bestFit="1" customWidth="1"/>
    <col min="5" max="5" width="21.08984375" bestFit="1" customWidth="1"/>
    <col min="6" max="6" width="9.453125" customWidth="1"/>
    <col min="8" max="8" width="13.26953125" bestFit="1" customWidth="1"/>
    <col min="9" max="9" width="12.26953125" bestFit="1" customWidth="1"/>
    <col min="10" max="10" width="14.54296875" bestFit="1" customWidth="1"/>
    <col min="11" max="11" width="13.1796875" bestFit="1" customWidth="1"/>
    <col min="12" max="12" width="8.90625" bestFit="1" customWidth="1"/>
    <col min="13" max="13" width="10.08984375" customWidth="1"/>
    <col min="14" max="14" width="18" bestFit="1" customWidth="1"/>
    <col min="15" max="15" width="10.36328125" bestFit="1" customWidth="1"/>
    <col min="16" max="16" width="10.26953125" bestFit="1" customWidth="1"/>
  </cols>
  <sheetData>
    <row r="1" spans="1:16" x14ac:dyDescent="0.35">
      <c r="A1" s="2" t="s">
        <v>13</v>
      </c>
      <c r="B1" s="2" t="s">
        <v>14</v>
      </c>
      <c r="C1" s="2" t="s">
        <v>63</v>
      </c>
      <c r="D1" s="2" t="s">
        <v>4</v>
      </c>
      <c r="E1" s="2" t="s">
        <v>20</v>
      </c>
      <c r="F1" s="2"/>
      <c r="G1" s="2" t="s">
        <v>41</v>
      </c>
      <c r="H1" s="2" t="s">
        <v>66</v>
      </c>
      <c r="I1" s="2" t="s">
        <v>64</v>
      </c>
      <c r="J1" s="2" t="s">
        <v>67</v>
      </c>
      <c r="K1" s="2" t="s">
        <v>46</v>
      </c>
      <c r="L1" s="2" t="s">
        <v>47</v>
      </c>
      <c r="M1" s="14">
        <v>44698</v>
      </c>
      <c r="N1" s="15"/>
      <c r="O1" s="14">
        <v>44843</v>
      </c>
      <c r="P1" s="15"/>
    </row>
    <row r="2" spans="1:16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6" t="s">
        <v>61</v>
      </c>
      <c r="N2" s="17" t="s">
        <v>62</v>
      </c>
      <c r="O2" s="16" t="s">
        <v>61</v>
      </c>
      <c r="P2" s="17" t="s">
        <v>62</v>
      </c>
    </row>
    <row r="3" spans="1:16" x14ac:dyDescent="0.35">
      <c r="A3" s="1">
        <v>1</v>
      </c>
      <c r="B3" s="1" t="s">
        <v>15</v>
      </c>
      <c r="C3" s="1"/>
      <c r="D3" s="1">
        <v>8000</v>
      </c>
      <c r="E3" s="1" t="s">
        <v>65</v>
      </c>
      <c r="F3" s="1"/>
      <c r="G3" s="1"/>
      <c r="H3" s="1"/>
      <c r="I3" s="1"/>
      <c r="J3" s="1"/>
      <c r="K3" s="1"/>
      <c r="L3" s="1"/>
      <c r="M3" s="1"/>
      <c r="N3" s="1"/>
    </row>
    <row r="4" spans="1:16" x14ac:dyDescent="0.35">
      <c r="A4" s="1">
        <v>4</v>
      </c>
      <c r="B4" s="1" t="s">
        <v>17</v>
      </c>
      <c r="C4" s="1"/>
      <c r="D4" s="1">
        <v>15074</v>
      </c>
      <c r="E4" s="7"/>
      <c r="F4" s="1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>
        <v>2</v>
      </c>
      <c r="B5" s="1" t="s">
        <v>45</v>
      </c>
      <c r="C5">
        <v>499201369844</v>
      </c>
      <c r="D5" s="1">
        <v>2500</v>
      </c>
      <c r="E5" s="8"/>
      <c r="F5" s="1" t="s">
        <v>34</v>
      </c>
      <c r="G5" s="1" t="s">
        <v>43</v>
      </c>
      <c r="H5" s="12">
        <v>43324</v>
      </c>
      <c r="I5" s="12">
        <v>44055</v>
      </c>
      <c r="J5" t="s">
        <v>65</v>
      </c>
      <c r="K5" s="18" t="s">
        <v>60</v>
      </c>
      <c r="L5" s="1" t="s">
        <v>39</v>
      </c>
      <c r="M5" s="1">
        <v>62500</v>
      </c>
      <c r="N5" s="1">
        <v>122064</v>
      </c>
      <c r="O5" s="1">
        <v>62500</v>
      </c>
      <c r="P5" s="1">
        <v>159786.42000000001</v>
      </c>
    </row>
    <row r="6" spans="1:16" x14ac:dyDescent="0.35">
      <c r="A6" s="1">
        <v>3</v>
      </c>
      <c r="B6" s="1" t="s">
        <v>45</v>
      </c>
      <c r="C6">
        <v>488248883761</v>
      </c>
      <c r="D6" s="1">
        <v>4000</v>
      </c>
      <c r="E6" s="8"/>
      <c r="F6" s="1"/>
      <c r="G6" s="1"/>
      <c r="H6" s="12">
        <v>44403</v>
      </c>
      <c r="I6" s="1"/>
      <c r="J6" s="1">
        <v>4000</v>
      </c>
      <c r="K6" s="18" t="s">
        <v>60</v>
      </c>
      <c r="L6" s="1"/>
      <c r="M6" s="1">
        <v>40000</v>
      </c>
      <c r="N6" s="1"/>
      <c r="O6" s="1">
        <v>56000</v>
      </c>
      <c r="P6" s="1">
        <v>62531.18</v>
      </c>
    </row>
    <row r="7" spans="1:16" x14ac:dyDescent="0.35">
      <c r="A7" s="1">
        <v>3</v>
      </c>
      <c r="B7" s="1" t="s">
        <v>16</v>
      </c>
      <c r="C7" t="s">
        <v>68</v>
      </c>
      <c r="D7" s="1">
        <v>2500</v>
      </c>
      <c r="E7" s="9">
        <v>2500</v>
      </c>
      <c r="F7" s="1" t="s">
        <v>35</v>
      </c>
      <c r="G7" s="1" t="s">
        <v>42</v>
      </c>
      <c r="H7" s="13">
        <v>43292</v>
      </c>
      <c r="I7" s="1"/>
      <c r="J7" s="1">
        <v>2500</v>
      </c>
      <c r="K7" s="1" t="s">
        <v>69</v>
      </c>
      <c r="L7" s="1" t="s">
        <v>49</v>
      </c>
      <c r="M7" s="1">
        <v>115000</v>
      </c>
      <c r="N7" s="1">
        <v>144114.32999999999</v>
      </c>
      <c r="O7" s="20">
        <v>122500</v>
      </c>
      <c r="P7" s="20">
        <v>168760.64</v>
      </c>
    </row>
    <row r="8" spans="1:16" x14ac:dyDescent="0.35">
      <c r="A8" s="1">
        <v>5</v>
      </c>
      <c r="B8" s="1" t="s">
        <v>18</v>
      </c>
      <c r="C8" s="1"/>
      <c r="D8" s="1"/>
      <c r="E8" s="9">
        <v>3000</v>
      </c>
      <c r="F8" s="1" t="s">
        <v>34</v>
      </c>
      <c r="G8" s="1" t="s">
        <v>42</v>
      </c>
      <c r="H8" s="12">
        <v>44389</v>
      </c>
      <c r="I8" s="1"/>
      <c r="J8" s="1">
        <v>3000</v>
      </c>
      <c r="K8" s="1" t="s">
        <v>55</v>
      </c>
      <c r="L8" s="1" t="s">
        <v>49</v>
      </c>
      <c r="M8" s="1">
        <v>32998</v>
      </c>
      <c r="N8" s="1">
        <v>29805.78</v>
      </c>
      <c r="O8" s="21">
        <v>48000</v>
      </c>
      <c r="P8" s="21">
        <v>50120.24</v>
      </c>
    </row>
    <row r="9" spans="1:16" x14ac:dyDescent="0.35">
      <c r="A9" s="1">
        <v>6</v>
      </c>
      <c r="B9" s="1" t="s">
        <v>19</v>
      </c>
      <c r="C9" s="1"/>
      <c r="D9" s="1"/>
      <c r="E9" s="9">
        <v>4000</v>
      </c>
      <c r="F9" s="1" t="s">
        <v>34</v>
      </c>
      <c r="G9" s="1" t="s">
        <v>43</v>
      </c>
      <c r="H9" s="1"/>
      <c r="I9" s="1"/>
      <c r="J9" s="1">
        <v>6000</v>
      </c>
      <c r="K9" s="1" t="s">
        <v>55</v>
      </c>
      <c r="L9" s="1" t="s">
        <v>39</v>
      </c>
      <c r="M9" s="1"/>
      <c r="N9" s="1"/>
      <c r="O9" s="1">
        <v>60000</v>
      </c>
      <c r="P9" s="21">
        <v>69145.81</v>
      </c>
    </row>
    <row r="10" spans="1:16" x14ac:dyDescent="0.35">
      <c r="A10" s="1">
        <v>7</v>
      </c>
      <c r="B10" s="1" t="s">
        <v>21</v>
      </c>
      <c r="C10" s="1"/>
      <c r="D10" s="1"/>
      <c r="E10" s="10">
        <v>3000</v>
      </c>
      <c r="F10" s="1" t="s">
        <v>40</v>
      </c>
      <c r="G10" s="1"/>
      <c r="H10" s="1"/>
      <c r="I10" s="1"/>
      <c r="J10" s="1"/>
      <c r="K10" s="1" t="s">
        <v>55</v>
      </c>
      <c r="L10" s="1"/>
      <c r="M10" s="1"/>
      <c r="N10" s="1"/>
      <c r="O10" s="1"/>
      <c r="P10" s="1"/>
    </row>
    <row r="11" spans="1:16" x14ac:dyDescent="0.35">
      <c r="A11" s="1">
        <v>8</v>
      </c>
      <c r="B11" s="1" t="s">
        <v>36</v>
      </c>
      <c r="C11" s="1"/>
      <c r="D11" s="1"/>
      <c r="E11" s="10">
        <v>3000</v>
      </c>
      <c r="F11" s="1" t="s">
        <v>40</v>
      </c>
      <c r="G11" s="1"/>
      <c r="H11" s="1"/>
      <c r="I11" s="1"/>
      <c r="J11" s="1"/>
      <c r="K11" s="1" t="s">
        <v>55</v>
      </c>
      <c r="L11" s="1"/>
      <c r="M11" s="1"/>
      <c r="N11" s="1"/>
      <c r="O11" s="1"/>
      <c r="P11" s="1"/>
    </row>
    <row r="12" spans="1:16" ht="43.5" x14ac:dyDescent="0.35">
      <c r="A12" s="1">
        <v>9</v>
      </c>
      <c r="B12" s="11" t="s">
        <v>37</v>
      </c>
      <c r="C12" s="11"/>
      <c r="D12" s="1"/>
      <c r="E12" s="10">
        <v>4000</v>
      </c>
      <c r="F12" s="1" t="s">
        <v>34</v>
      </c>
      <c r="G12" s="1" t="s">
        <v>42</v>
      </c>
      <c r="H12" s="1"/>
      <c r="I12" s="1"/>
      <c r="J12" s="1">
        <v>7000</v>
      </c>
      <c r="K12" s="1" t="s">
        <v>55</v>
      </c>
      <c r="L12" s="1" t="s">
        <v>48</v>
      </c>
      <c r="M12" s="1">
        <v>68000</v>
      </c>
      <c r="N12" s="1" t="s">
        <v>54</v>
      </c>
      <c r="O12" s="21">
        <v>95995.199999999997</v>
      </c>
      <c r="P12" s="21">
        <v>97911.31</v>
      </c>
    </row>
    <row r="13" spans="1:16" x14ac:dyDescent="0.35">
      <c r="A13" s="1">
        <v>10</v>
      </c>
      <c r="B13" s="1" t="s">
        <v>38</v>
      </c>
      <c r="C13" s="1"/>
      <c r="D13" s="1"/>
      <c r="E13" s="10">
        <v>2000</v>
      </c>
      <c r="F13" s="1" t="s">
        <v>40</v>
      </c>
      <c r="G13" s="1"/>
      <c r="H13" s="1"/>
      <c r="I13" s="1"/>
      <c r="J13" s="1"/>
      <c r="K13" s="1" t="s">
        <v>55</v>
      </c>
      <c r="L13" s="1"/>
      <c r="M13" s="1">
        <v>40000</v>
      </c>
      <c r="N13" s="1">
        <v>39999</v>
      </c>
      <c r="O13" s="1"/>
      <c r="P13" s="1"/>
    </row>
    <row r="14" spans="1:16" x14ac:dyDescent="0.35">
      <c r="A14" s="19">
        <v>11</v>
      </c>
      <c r="B14" s="19" t="s">
        <v>44</v>
      </c>
      <c r="C14" s="19"/>
      <c r="D14" s="1"/>
      <c r="E14" s="10">
        <v>5000</v>
      </c>
      <c r="F14" s="19" t="s">
        <v>34</v>
      </c>
      <c r="G14" s="1"/>
      <c r="H14" s="1"/>
      <c r="I14" s="1"/>
      <c r="J14" s="10">
        <v>7500</v>
      </c>
      <c r="K14" s="1"/>
      <c r="L14" s="1" t="s">
        <v>56</v>
      </c>
      <c r="M14" s="1">
        <v>78000</v>
      </c>
      <c r="N14" s="1">
        <v>71000</v>
      </c>
      <c r="O14" s="21">
        <v>115500</v>
      </c>
      <c r="P14" s="21">
        <v>113002.85</v>
      </c>
    </row>
    <row r="15" spans="1:16" x14ac:dyDescent="0.35">
      <c r="M15" s="1"/>
      <c r="N15" s="1"/>
    </row>
    <row r="16" spans="1:16" x14ac:dyDescent="0.35">
      <c r="M16" s="1"/>
      <c r="N16" s="1"/>
    </row>
    <row r="17" spans="13:14" x14ac:dyDescent="0.35">
      <c r="M17" s="1"/>
      <c r="N17" s="1"/>
    </row>
    <row r="18" spans="13:14" x14ac:dyDescent="0.35">
      <c r="M18" s="1"/>
      <c r="N18" s="1"/>
    </row>
  </sheetData>
  <mergeCells count="2">
    <mergeCell ref="M1:N1"/>
    <mergeCell ref="O1:P1"/>
  </mergeCells>
  <hyperlinks>
    <hyperlink ref="K5" r:id="rId1" xr:uid="{0260EBB3-F298-4D20-A0B6-BCF6C3019C2F}"/>
    <hyperlink ref="K6" r:id="rId2" xr:uid="{86A99F55-88AB-47CF-A064-D96E42B470F0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BEAD-97A2-494F-8173-991144D49F6F}">
  <dimension ref="A1"/>
  <sheetViews>
    <sheetView workbookViewId="0">
      <selection activeCell="J19" sqref="J19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A3" sqref="A3"/>
    </sheetView>
  </sheetViews>
  <sheetFormatPr defaultRowHeight="14.5" x14ac:dyDescent="0.35"/>
  <cols>
    <col min="2" max="2" width="9.08984375" bestFit="1" customWidth="1"/>
  </cols>
  <sheetData>
    <row r="1" spans="1:3" x14ac:dyDescent="0.35">
      <c r="B1" t="s">
        <v>58</v>
      </c>
      <c r="C1" t="s">
        <v>8</v>
      </c>
    </row>
    <row r="2" spans="1:3" x14ac:dyDescent="0.35">
      <c r="A2" t="s">
        <v>57</v>
      </c>
    </row>
    <row r="3" spans="1:3" x14ac:dyDescent="0.35">
      <c r="A3" t="s">
        <v>59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workbookViewId="0">
      <selection activeCell="C2" sqref="C2"/>
    </sheetView>
  </sheetViews>
  <sheetFormatPr defaultRowHeight="14.5" x14ac:dyDescent="0.35"/>
  <sheetData>
    <row r="1" spans="1:12" x14ac:dyDescent="0.35">
      <c r="A1" t="s">
        <v>50</v>
      </c>
    </row>
    <row r="2" spans="1:12" x14ac:dyDescent="0.35">
      <c r="A2" t="s">
        <v>51</v>
      </c>
      <c r="B2">
        <v>75</v>
      </c>
      <c r="C2">
        <f>(B6*B2)/100</f>
        <v>56250</v>
      </c>
    </row>
    <row r="3" spans="1:12" x14ac:dyDescent="0.35">
      <c r="A3" t="s">
        <v>52</v>
      </c>
      <c r="B3">
        <v>20</v>
      </c>
      <c r="C3">
        <f>(B6*B3)/100</f>
        <v>15000</v>
      </c>
    </row>
    <row r="4" spans="1:12" x14ac:dyDescent="0.35">
      <c r="A4" t="s">
        <v>53</v>
      </c>
      <c r="B4">
        <v>5</v>
      </c>
      <c r="C4">
        <f>(B6*B4)/100</f>
        <v>3750</v>
      </c>
    </row>
    <row r="5" spans="1:12" x14ac:dyDescent="0.35">
      <c r="L5">
        <v>30000</v>
      </c>
    </row>
    <row r="6" spans="1:12" x14ac:dyDescent="0.35">
      <c r="B6">
        <v>75000</v>
      </c>
      <c r="L6">
        <v>5000</v>
      </c>
    </row>
    <row r="9" spans="1:12" x14ac:dyDescent="0.35">
      <c r="J9">
        <v>15000</v>
      </c>
    </row>
    <row r="10" spans="1:12" x14ac:dyDescent="0.35">
      <c r="J10">
        <v>50000</v>
      </c>
    </row>
    <row r="11" spans="1:12" x14ac:dyDescent="0.35">
      <c r="J11">
        <v>10000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C7" sqref="C7"/>
    </sheetView>
  </sheetViews>
  <sheetFormatPr defaultRowHeight="14.5" x14ac:dyDescent="0.35"/>
  <cols>
    <col min="1" max="1" width="11.453125" bestFit="1" customWidth="1"/>
  </cols>
  <sheetData>
    <row r="1" spans="1:3" x14ac:dyDescent="0.35">
      <c r="B1" t="s">
        <v>27</v>
      </c>
      <c r="C1" t="s">
        <v>23</v>
      </c>
    </row>
    <row r="2" spans="1:3" x14ac:dyDescent="0.35">
      <c r="A2" t="s">
        <v>22</v>
      </c>
      <c r="B2" s="5">
        <v>15000</v>
      </c>
      <c r="C2">
        <v>13000</v>
      </c>
    </row>
    <row r="3" spans="1:3" x14ac:dyDescent="0.35">
      <c r="A3" t="s">
        <v>24</v>
      </c>
      <c r="B3" s="5">
        <v>17000</v>
      </c>
      <c r="C3">
        <v>15000</v>
      </c>
    </row>
    <row r="4" spans="1:3" x14ac:dyDescent="0.35">
      <c r="A4" t="s">
        <v>25</v>
      </c>
      <c r="B4" s="5">
        <v>9000</v>
      </c>
      <c r="C4">
        <v>9000</v>
      </c>
    </row>
    <row r="5" spans="1:3" x14ac:dyDescent="0.35">
      <c r="A5" t="s">
        <v>26</v>
      </c>
      <c r="B5" s="5">
        <v>30000</v>
      </c>
      <c r="C5">
        <v>25000</v>
      </c>
    </row>
    <row r="6" spans="1:3" x14ac:dyDescent="0.35">
      <c r="A6" t="s">
        <v>28</v>
      </c>
      <c r="C6">
        <f>SUM(C2:C5)</f>
        <v>62000</v>
      </c>
    </row>
    <row r="7" spans="1:3" x14ac:dyDescent="0.35">
      <c r="A7" t="s">
        <v>29</v>
      </c>
      <c r="C7">
        <f>20*C6/100</f>
        <v>12400</v>
      </c>
    </row>
    <row r="8" spans="1:3" x14ac:dyDescent="0.35">
      <c r="A8" t="s">
        <v>30</v>
      </c>
      <c r="C8">
        <f>45*C6/100</f>
        <v>27900</v>
      </c>
    </row>
    <row r="9" spans="1:3" x14ac:dyDescent="0.35">
      <c r="A9" t="s">
        <v>31</v>
      </c>
      <c r="C9">
        <f>5*C6/100</f>
        <v>3100</v>
      </c>
    </row>
    <row r="10" spans="1:3" x14ac:dyDescent="0.35">
      <c r="A10" t="s">
        <v>32</v>
      </c>
      <c r="C10">
        <f>17*C6/100</f>
        <v>10540</v>
      </c>
    </row>
    <row r="11" spans="1:3" x14ac:dyDescent="0.35">
      <c r="A11" t="s">
        <v>33</v>
      </c>
      <c r="C11">
        <f>13*C6/100</f>
        <v>8060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Nakshatra</vt:lpstr>
      <vt:lpstr>Arun</vt:lpstr>
      <vt:lpstr>Navaneeth</vt:lpstr>
      <vt:lpstr>Monthly Commitement</vt:lpstr>
      <vt:lpstr>Stock</vt:lpstr>
      <vt:lpstr>ETF</vt:lpstr>
      <vt:lpstr>Asset Allocation</vt:lpstr>
      <vt:lpstr>Aggregation</vt:lpstr>
      <vt:lpstr>Sheet6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lastModifiedBy>S, ARUN</cp:lastModifiedBy>
  <dcterms:created xsi:type="dcterms:W3CDTF">2019-11-01T06:06:07Z</dcterms:created>
  <dcterms:modified xsi:type="dcterms:W3CDTF">2022-10-09T17:29:06Z</dcterms:modified>
</cp:coreProperties>
</file>